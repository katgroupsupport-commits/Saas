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res\Documents\new_saas_26052026\new_saas\outputs\test-cases\"/>
    </mc:Choice>
  </mc:AlternateContent>
  <xr:revisionPtr revIDLastSave="0" documentId="13_ncr:1_{9A70F228-0E91-43D9-AC16-62A0A6BED9C6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00 Summary" sheetId="1" r:id="rId1"/>
    <sheet name="01 Login Register" sheetId="2" r:id="rId2"/>
    <sheet name="02 Setup Tests" sheetId="3" r:id="rId3"/>
    <sheet name="03 Legacy Migration" sheetId="4" r:id="rId4"/>
    <sheet name="04 Transactions" sheetId="5" r:id="rId5"/>
    <sheet name="05 Loans Approvals" sheetId="6" r:id="rId6"/>
    <sheet name="06 Corrections" sheetId="7" r:id="rId7"/>
    <sheet name="07 Role Security" sheetId="8" r:id="rId8"/>
    <sheet name="09 Calculation Details" sheetId="9" r:id="rId9"/>
    <sheet name="08 Dashboard Expected" sheetId="10" r:id="rId10"/>
    <sheet name="10 Final Regress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0" l="1"/>
  <c r="B27" i="10"/>
  <c r="B26" i="10"/>
  <c r="B25" i="10"/>
  <c r="B24" i="10"/>
  <c r="B28" i="10" s="1"/>
  <c r="B22" i="10"/>
  <c r="B21" i="10"/>
  <c r="B20" i="10"/>
  <c r="B18" i="10"/>
  <c r="B17" i="10"/>
  <c r="B16" i="10"/>
  <c r="B15" i="10"/>
  <c r="B10" i="10"/>
  <c r="B9" i="10"/>
  <c r="B8" i="10"/>
  <c r="B7" i="10"/>
  <c r="B6" i="10"/>
  <c r="B5" i="10"/>
  <c r="B19" i="10" s="1"/>
  <c r="B23" i="10" l="1"/>
</calcChain>
</file>

<file path=xl/sharedStrings.xml><?xml version="1.0" encoding="utf-8"?>
<sst xmlns="http://schemas.openxmlformats.org/spreadsheetml/2006/main" count="419" uniqueCount="376">
  <si>
    <t>Bachat Gat SaaS - User Test Cases</t>
  </si>
  <si>
    <t>Use this workbook to test registration, setup, approvals, calculations, dashboard numbers, security and reports.</t>
  </si>
  <si>
    <t>Area</t>
  </si>
  <si>
    <t>What to test</t>
  </si>
  <si>
    <t>Expected result</t>
  </si>
  <si>
    <t>Login/Register</t>
  </si>
  <si>
    <t>Duplicate email, OTP resend, forgot password, Google login fallback</t>
  </si>
  <si>
    <t>Valid users register/login; duplicate email is blocked; reset and OTP links work after Supabase redirect setup.</t>
  </si>
  <si>
    <t>Group &amp; Members</t>
  </si>
  <si>
    <t>Create group, creator becomes admin member, add members with unique username</t>
  </si>
  <si>
    <t>Only current group members appear; group code is visible; hidden groups can be managed.</t>
  </si>
  <si>
    <t>Setup</t>
  </si>
  <si>
    <t>Group/member/finance/period/role/approval setup</t>
  </si>
  <si>
    <t>Null member setup falls back to group setup; setup approval status shows pending approver.</t>
  </si>
  <si>
    <t>Legacy Migration</t>
  </si>
  <si>
    <t>Group opening and member opening migration</t>
  </si>
  <si>
    <t>Approval flow applies when approvers exist; only one history row is shown per member migration.</t>
  </si>
  <si>
    <t>Transactions</t>
  </si>
  <si>
    <t>Savings, excess, loan repayment allocation, group expense split</t>
  </si>
  <si>
    <t>Completed entries only affect dashboard; excess is savings; expenses create member expense share lines.</t>
  </si>
  <si>
    <t>Loans</t>
  </si>
  <si>
    <t>Member loan request, admin approval, interest and repayment split</t>
  </si>
  <si>
    <t>Loan request goes to approvers/admin; disbursement and repayments update outstanding values.</t>
  </si>
  <si>
    <t>Corrections</t>
  </si>
  <si>
    <t>Adjustment and reversal approvals</t>
  </si>
  <si>
    <t>Approved records are not edited directly; corrections create child entries and audit history.</t>
  </si>
  <si>
    <t>Dashboards</t>
  </si>
  <si>
    <t>Current month and overall summaries</t>
  </si>
  <si>
    <t>Dashboard matches expected output sheet after sample test data is entered.</t>
  </si>
  <si>
    <t>Security</t>
  </si>
  <si>
    <t>Member/admin/product owner access and group isolation</t>
  </si>
  <si>
    <t>No data from other groups appears in current group session.</t>
  </si>
  <si>
    <t>Recommended sample period: May 2026. Sample group: Maitri Test Group (BG-T01). Members: Asha Admin, Bhavna Member, Chitra Approver.</t>
  </si>
  <si>
    <t>Login And Registration Tests</t>
  </si>
  <si>
    <t>Run these before financial testing so the user and group identities are clean.</t>
  </si>
  <si>
    <t>TC ID</t>
  </si>
  <si>
    <t>Scenario</t>
  </si>
  <si>
    <t>Input / Steps</t>
  </si>
  <si>
    <t>Expected Result</t>
  </si>
  <si>
    <t>Actual Result</t>
  </si>
  <si>
    <t>Status</t>
  </si>
  <si>
    <t>LR-01</t>
  </si>
  <si>
    <t>Register new user</t>
  </si>
  <si>
    <t>Full name: Asha Admin; email: asha.test@example.com; mobile optional; set password</t>
  </si>
  <si>
    <t>User is created. Profile name shows Asha Admin. No random member name is created.</t>
  </si>
  <si>
    <t>LR-02</t>
  </si>
  <si>
    <t>Duplicate email blocked</t>
  </si>
  <si>
    <t>Try registering again with asha.test@example.com</t>
  </si>
  <si>
    <t>Registration is stopped with readable message: account already exists.</t>
  </si>
  <si>
    <t>LR-03</t>
  </si>
  <si>
    <t>Resend OTP</t>
  </si>
  <si>
    <t>Use expired/invalid OTP link, click Resend OTP</t>
  </si>
  <si>
    <t>New verification email is sent and message disappears automatically after a few seconds.</t>
  </si>
  <si>
    <t>LR-04</t>
  </si>
  <si>
    <t>Forgot password</t>
  </si>
  <si>
    <t>Click forgot password and open email link</t>
  </si>
  <si>
    <t>Redirect opens app reset password page. Password can be updated.</t>
  </si>
  <si>
    <t>LR-05</t>
  </si>
  <si>
    <t>Create group</t>
  </si>
  <si>
    <t>Login as Asha, create Maitri Test Group</t>
  </si>
  <si>
    <t>Asha is inserted in members table for this group and assigned Admin role.</t>
  </si>
  <si>
    <t>LR-06</t>
  </si>
  <si>
    <t>Group list details</t>
  </si>
  <si>
    <t>Open Your Groups</t>
  </si>
  <si>
    <t>Group name, group code, and creator name are visible.</t>
  </si>
  <si>
    <t>LR-07</t>
  </si>
  <si>
    <t>Hide/unhide group</t>
  </si>
  <si>
    <t>Hide one group, then open hidden groups and unhide</t>
  </si>
  <si>
    <t>Hidden group is removed from normal list and returns after unhide.</t>
  </si>
  <si>
    <t>LR-08</t>
  </si>
  <si>
    <t>Member registers later</t>
  </si>
  <si>
    <t>Add Bhavna with email bhavna.test@example.com, then register using same email</t>
  </si>
  <si>
    <t>Bhavna can see all groups where that email is a member and can create a new group if needed.</t>
  </si>
  <si>
    <t>Setup Tests</t>
  </si>
  <si>
    <t>Use null member setup values to confirm fallback to group setup.</t>
  </si>
  <si>
    <t>Setup Area</t>
  </si>
  <si>
    <t>Input Values</t>
  </si>
  <si>
    <t>ST-01</t>
  </si>
  <si>
    <t>Group setup</t>
  </si>
  <si>
    <t>Monthly saving 1000; interest 2%; penalty 100; loan limit 10000; tenure 6; due day 10</t>
  </si>
  <si>
    <t>Values save or go for approval based on approver setup. Notification shows only changed fields.</t>
  </si>
  <si>
    <t>ST-02</t>
  </si>
  <si>
    <t>Member setup null fallback</t>
  </si>
  <si>
    <t>Asha custom saving blank; loan limit blank; tenure blank; interest blank</t>
  </si>
  <si>
    <t>Stored as NULL, not 0. Transactions/loans use group setup values.</t>
  </si>
  <si>
    <t>ST-03</t>
  </si>
  <si>
    <t>Member setup override</t>
  </si>
  <si>
    <t>Bhavna custom saving 1500; loan limit 7000; tenure blank</t>
  </si>
  <si>
    <t>Bhavna uses saving 1500 and loan limit 7000; tenure still falls back to group 6.</t>
  </si>
  <si>
    <t>ST-04</t>
  </si>
  <si>
    <t>Approval setup</t>
  </si>
  <si>
    <t>Make Chitra approver. Admin remains checked for creator.</t>
  </si>
  <si>
    <t>Admin checkbox is checked for creator; Chitra receives approval requests.</t>
  </si>
  <si>
    <t>ST-05</t>
  </si>
  <si>
    <t>Pending setup approval panel</t>
  </si>
  <si>
    <t>Make any setup change while approver exists</t>
  </si>
  <si>
    <t>Bottom of setup page shows setup type, changed values, status, and pending approver.</t>
  </si>
  <si>
    <t>ST-06</t>
  </si>
  <si>
    <t>Period default closed</t>
  </si>
  <si>
    <t>Create May 2026 period but do not open</t>
  </si>
  <si>
    <t>Transactions are allowed only if no other period is open. Period itself remains Closed until opened.</t>
  </si>
  <si>
    <t>ST-07</t>
  </si>
  <si>
    <t>Open selected period</t>
  </si>
  <si>
    <t>Select May 2026, click Open selected period</t>
  </si>
  <si>
    <t>May 2026 opens, all other periods close. Not April 2026.</t>
  </si>
  <si>
    <t>ST-08</t>
  </si>
  <si>
    <t>Required field marker</t>
  </si>
  <si>
    <t>Open setup forms</t>
  </si>
  <si>
    <t>Only calculation/login mandatory fields show * mark.</t>
  </si>
  <si>
    <t>Legacy Migration Tests</t>
  </si>
  <si>
    <t>Migration values should create approved/pending financial entries and clean history.</t>
  </si>
  <si>
    <t>LM-01</t>
  </si>
  <si>
    <t>Group opening migration</t>
  </si>
  <si>
    <t>Opening bank 5000; old group gain 600; old expense 300; date 2026-05-01</t>
  </si>
  <si>
    <t>If approver exists, status Pending and visible in approvals. After approval it affects dashboard.</t>
  </si>
  <si>
    <t>LM-02</t>
  </si>
  <si>
    <t>Member opening Asha</t>
  </si>
  <si>
    <t>Saving 2000; joined date 2026-05-01</t>
  </si>
  <si>
    <t>One member history row only. No duplicate source rows. No unused share earned/bank balance columns shown.</t>
  </si>
  <si>
    <t>LM-03</t>
  </si>
  <si>
    <t>Member opening Chitra</t>
  </si>
  <si>
    <t>Saving 1000; optional old loan 3000; old interest 120; old penalty 50</t>
  </si>
  <si>
    <t>Migration creates transaction/loan opening entries as per architecture after approval.</t>
  </si>
  <si>
    <t>LM-04</t>
  </si>
  <si>
    <t>Excess in migration</t>
  </si>
  <si>
    <t>Saving setup 1000, migration received amount 1300</t>
  </si>
  <si>
    <t>Split shows 1000 saving + 300 excess. Both are included in savings.</t>
  </si>
  <si>
    <t>LM-05</t>
  </si>
  <si>
    <t>No approvers configured</t>
  </si>
  <si>
    <t>Remove approver setup, save member migration</t>
  </si>
  <si>
    <t>Migration auto completes and immediately reflects in dashboard.</t>
  </si>
  <si>
    <t>Transaction And Expense Tests</t>
  </si>
  <si>
    <t>Completed transactions only should affect dashboard.</t>
  </si>
  <si>
    <t>Expected Split / Result</t>
  </si>
  <si>
    <t>TR-01</t>
  </si>
  <si>
    <t>Asha saving</t>
  </si>
  <si>
    <t>Member Asha; date 2026-05-05; amount 1000</t>
  </si>
  <si>
    <t>Saving 1000. If no approver setup, status Completed.</t>
  </si>
  <si>
    <t>TR-02</t>
  </si>
  <si>
    <t>Bhavna saving with excess</t>
  </si>
  <si>
    <t>Member Bhavna; date 2026-05-06; amount 2000</t>
  </si>
  <si>
    <t>Saving 1500 + excess 500. Dashboard saving includes full 2000.</t>
  </si>
  <si>
    <t>TR-03</t>
  </si>
  <si>
    <t>Loan repayment preview</t>
  </si>
  <si>
    <t>Asha loan outstanding 5000; payment date 2026-05-20; amount 1200</t>
  </si>
  <si>
    <t>Before save preview shows saving 1000, interest about 33, principal about 167.</t>
  </si>
  <si>
    <t>TR-04</t>
  </si>
  <si>
    <t>Edit allocation validation</t>
  </si>
  <si>
    <t>Try interest above calculated value</t>
  </si>
  <si>
    <t>Blocked. Interest cannot exceed calculated interest.</t>
  </si>
  <si>
    <t>TR-05</t>
  </si>
  <si>
    <t>Principal validation</t>
  </si>
  <si>
    <t>Try principal above outstanding amount</t>
  </si>
  <si>
    <t>Blocked. Principal cannot exceed outstanding principal.</t>
  </si>
  <si>
    <t>TR-06</t>
  </si>
  <si>
    <t>Penalty changed manually</t>
  </si>
  <si>
    <t>Increase penalty in edit allocation</t>
  </si>
  <si>
    <t>Excess adjusts first, then principal, then interest; remaining unpaid interest stays for next payment.</t>
  </si>
  <si>
    <t>TR-07</t>
  </si>
  <si>
    <t>Group expense split</t>
  </si>
  <si>
    <t>Expense 300; lines Rent 200 and Bank charge 100</t>
  </si>
  <si>
    <t>Header and lines total must match. Creates expense header/lines and member expense share 100 each for 3 active members.</t>
  </si>
  <si>
    <t>TR-08</t>
  </si>
  <si>
    <t>Pending transaction</t>
  </si>
  <si>
    <t>Configure approver then save transaction</t>
  </si>
  <si>
    <t>Transaction remains Pending. It is not included in dashboard until all approvals complete.</t>
  </si>
  <si>
    <t>Loan And Approval Tests</t>
  </si>
  <si>
    <t>Loan requests should go to approvers/admin and only become active after approval.</t>
  </si>
  <si>
    <t>LA-01</t>
  </si>
  <si>
    <t>Member loan request</t>
  </si>
  <si>
    <t>Login as Asha/Bhavna member; loan amount 5000; reason optional/blank</t>
  </si>
  <si>
    <t>Member can request loan only for self. Request goes to approvers/admin.</t>
  </si>
  <si>
    <t>LA-02</t>
  </si>
  <si>
    <t>Loan eligibility - account balance</t>
  </si>
  <si>
    <t>Account balance 5000; loan limit 10000; request 8000</t>
  </si>
  <si>
    <t>Blocked. Eligible amount is only 5000.</t>
  </si>
  <si>
    <t>LA-03</t>
  </si>
  <si>
    <t>Loan eligibility - setup limit</t>
  </si>
  <si>
    <t>Account balance 20000; member/group loan limit 10000; request 15000</t>
  </si>
  <si>
    <t>Blocked because setup loan limit is less than requested amount.</t>
  </si>
  <si>
    <t>LA-04</t>
  </si>
  <si>
    <t>Loan approval completion</t>
  </si>
  <si>
    <t>All approvers approve loan request</t>
  </si>
  <si>
    <t>Loan becomes Active and disbursement entry is created.</t>
  </si>
  <si>
    <t>LA-05</t>
  </si>
  <si>
    <t>Approval action confirm</t>
  </si>
  <si>
    <t>Click Approve/Reject action</t>
  </si>
  <si>
    <t>Confirmation popup appears. After confirm, buttons are disabled for that approval.</t>
  </si>
  <si>
    <t>LA-06</t>
  </si>
  <si>
    <t>Pending from label</t>
  </si>
  <si>
    <t>Create loan with multiple approvers</t>
  </si>
  <si>
    <t>Loan/approval row shows whose approval is pending.</t>
  </si>
  <si>
    <t>LA-07</t>
  </si>
  <si>
    <t>Oldest loan repayment priority</t>
  </si>
  <si>
    <t>Member has two active loans; create repayment</t>
  </si>
  <si>
    <t>Interest is collected for all loans first, then principal against oldest loan first.</t>
  </si>
  <si>
    <t>Adjustment And Reversal Tests</t>
  </si>
  <si>
    <t>Approved financial records must not be directly edited or deleted.</t>
  </si>
  <si>
    <t>CR-01</t>
  </si>
  <si>
    <t>Partial adjustment</t>
  </si>
  <si>
    <t>Original collection 2000; correct amount 1500</t>
  </si>
  <si>
    <t>Create adjustment -500 as child entry. If approvers exist, pending until all approve.</t>
  </si>
  <si>
    <t>CR-02</t>
  </si>
  <si>
    <t>Full reversal</t>
  </si>
  <si>
    <t>Wrong member selected for 1000 collection</t>
  </si>
  <si>
    <t>Create full negative reversal child entry. Original record stays unchanged.</t>
  </si>
  <si>
    <t>CR-03</t>
  </si>
  <si>
    <t>Adjustment approval</t>
  </si>
  <si>
    <t>Approver approves adjustment</t>
  </si>
  <si>
    <t>Only after approval adjustment affects dashboard and audit history.</t>
  </si>
  <si>
    <t>CR-04</t>
  </si>
  <si>
    <t>Reversal audit</t>
  </si>
  <si>
    <t>Open audit history for reversed transaction</t>
  </si>
  <si>
    <t>Audit shows parent transaction, reversal action, changed by, date and remarks.</t>
  </si>
  <si>
    <t>CR-05</t>
  </si>
  <si>
    <t>No direct edit/delete</t>
  </si>
  <si>
    <t>Try editing approved transaction directly</t>
  </si>
  <si>
    <t>UI only offers View, Adjust, Reverse, Audit History.</t>
  </si>
  <si>
    <t>Role, Privacy And Product Owner Tests</t>
  </si>
  <si>
    <t>Current group session must never show another group data.</t>
  </si>
  <si>
    <t>Steps</t>
  </si>
  <si>
    <t>RS-01</t>
  </si>
  <si>
    <t>Member view only</t>
  </si>
  <si>
    <t>Login as member without admin role</t>
  </si>
  <si>
    <t>Setup, transactions and admin loan actions are hidden/restricted. Dashboards/reports/contact visible.</t>
  </si>
  <si>
    <t>RS-02</t>
  </si>
  <si>
    <t>Approver access</t>
  </si>
  <si>
    <t>Login as Chitra approver</t>
  </si>
  <si>
    <t>Approvals visible only for groups where Chitra is approver.</t>
  </si>
  <si>
    <t>RS-03</t>
  </si>
  <si>
    <t>Group isolation dashboard</t>
  </si>
  <si>
    <t>Switch from BG-T01 to another group</t>
  </si>
  <si>
    <t>All dashboard, member, loan, contact, profile context changes to selected group only.</t>
  </si>
  <si>
    <t>RS-04</t>
  </si>
  <si>
    <t>Profile context</t>
  </si>
  <si>
    <t>Open profile while current group is BG-T01</t>
  </si>
  <si>
    <t>Shows logged-in user profile, not another member from another group.</t>
  </si>
  <si>
    <t>RS-05</t>
  </si>
  <si>
    <t>Product owner login</t>
  </si>
  <si>
    <t>Login with katgroupsupport@gmail.com</t>
  </si>
  <si>
    <t>Product Owner page visible. Profile does not show normal member details from unrelated group.</t>
  </si>
  <si>
    <t>RS-06</t>
  </si>
  <si>
    <t>Product owner disputes</t>
  </si>
  <si>
    <t>Open support disputes and attachment</t>
  </si>
  <si>
    <t>Attachment downloads; chat replies are visible only to that user and group session.</t>
  </si>
  <si>
    <t>RS-07</t>
  </si>
  <si>
    <t>Popup readability</t>
  </si>
  <si>
    <t>Trigger validation error</t>
  </si>
  <si>
    <t>Popup background is readable and disappears automatically after a few seconds.</t>
  </si>
  <si>
    <t>Sample Calculation Inputs</t>
  </si>
  <si>
    <t>These values feed the expected dashboard sheet. Replace Actual values while testing if your data differs.</t>
  </si>
  <si>
    <t>Input</t>
  </si>
  <si>
    <t>Value</t>
  </si>
  <si>
    <t>Notes</t>
  </si>
  <si>
    <t>Active members</t>
  </si>
  <si>
    <t>Asha, Bhavna, Chitra</t>
  </si>
  <si>
    <t>Group monthly saving</t>
  </si>
  <si>
    <t>Bhavna monthly saving override</t>
  </si>
  <si>
    <t>Monthly interest rate</t>
  </si>
  <si>
    <t>2% per month</t>
  </si>
  <si>
    <t>Loan due day</t>
  </si>
  <si>
    <t>Finance setup</t>
  </si>
  <si>
    <t>Opening bank balance</t>
  </si>
  <si>
    <t>Group legacy opening</t>
  </si>
  <si>
    <t>Opening group gain</t>
  </si>
  <si>
    <t>Legacy group earning from old interest/penalty</t>
  </si>
  <si>
    <t>Opening group expense</t>
  </si>
  <si>
    <t>Legacy group expense</t>
  </si>
  <si>
    <t>Asha migrated saving</t>
  </si>
  <si>
    <t>Member legacy opening</t>
  </si>
  <si>
    <t>Chitra migrated saving</t>
  </si>
  <si>
    <t>Asha May saving</t>
  </si>
  <si>
    <t>Bhavna May saving plus excess</t>
  </si>
  <si>
    <t>TR-02: 1500 saving + 500 excess</t>
  </si>
  <si>
    <t>Loan disbursed to Asha</t>
  </si>
  <si>
    <t>Repayment amount</t>
  </si>
  <si>
    <t>Repayment saving portion</t>
  </si>
  <si>
    <t>From group setup</t>
  </si>
  <si>
    <t>Repayment interest portion</t>
  </si>
  <si>
    <t>Approx 5000 * 2% * 10/30</t>
  </si>
  <si>
    <t>Repayment principal portion</t>
  </si>
  <si>
    <t>1200 - 1000 - 33</t>
  </si>
  <si>
    <t>Penalty collected</t>
  </si>
  <si>
    <t>No late penalty in base sample</t>
  </si>
  <si>
    <t>May group expense</t>
  </si>
  <si>
    <t>Member expense share</t>
  </si>
  <si>
    <t>300 / 3 active members</t>
  </si>
  <si>
    <t>Asha distributed gain</t>
  </si>
  <si>
    <t>33 / 3 simple sample; use weighted distribution when enabled</t>
  </si>
  <si>
    <t>Bhavna distributed gain</t>
  </si>
  <si>
    <t>33 / 3 simple sample</t>
  </si>
  <si>
    <t>Chitra distributed gain</t>
  </si>
  <si>
    <t>Dashboard Expected Output</t>
  </si>
  <si>
    <t>Expected values after entering the sample data and completing required approvals.</t>
  </si>
  <si>
    <t>Dashboard Field</t>
  </si>
  <si>
    <t>Expected Value</t>
  </si>
  <si>
    <t>Formula / Meaning</t>
  </si>
  <si>
    <t>Actual App Value</t>
  </si>
  <si>
    <t>Pass/Fail</t>
  </si>
  <si>
    <t>Total savings</t>
  </si>
  <si>
    <t>Asha migrated + Chitra migrated + Asha saving + Bhavna saving/excess + repayment saving</t>
  </si>
  <si>
    <t>Collected in May 2026</t>
  </si>
  <si>
    <t>Savings + principal collected + interest collected + penalty. Excludes loan disbursed and expenses.</t>
  </si>
  <si>
    <t>Collected split - savings</t>
  </si>
  <si>
    <t>Savings includes excess amount</t>
  </si>
  <si>
    <t>Collected split - principal</t>
  </si>
  <si>
    <t>Principal collected this month</t>
  </si>
  <si>
    <t>Collected split - interest</t>
  </si>
  <si>
    <t>Interest collected this month</t>
  </si>
  <si>
    <t>Collected split - penalty</t>
  </si>
  <si>
    <t>Penalty collected this month</t>
  </si>
  <si>
    <t>Active loan count</t>
  </si>
  <si>
    <t>Asha active loan</t>
  </si>
  <si>
    <t>Closed loan count till now</t>
  </si>
  <si>
    <t>No closed loan in base sample</t>
  </si>
  <si>
    <t>Loans activated in May 2026</t>
  </si>
  <si>
    <t>Asha loan approved in May</t>
  </si>
  <si>
    <t>Loans disbursed till now count</t>
  </si>
  <si>
    <t>One approved loan disbursement</t>
  </si>
  <si>
    <t>Active loan amount</t>
  </si>
  <si>
    <t>Outstanding principal = disbursed - principal repaid</t>
  </si>
  <si>
    <t>Loan disbursed in May 2026</t>
  </si>
  <si>
    <t>Loan amount released in current month</t>
  </si>
  <si>
    <t>Loan disbursed till now</t>
  </si>
  <si>
    <t>Total loan disbursement so far</t>
  </si>
  <si>
    <t>Loan repaid till now</t>
  </si>
  <si>
    <t>Principal repaid so far</t>
  </si>
  <si>
    <t>Remaining account balance</t>
  </si>
  <si>
    <t>Opening bank + May collected + opening gain - loan disbursed - total expenses</t>
  </si>
  <si>
    <t>Remaining split - outstanding loan</t>
  </si>
  <si>
    <t>Outstanding principal</t>
  </si>
  <si>
    <t>Remaining split - overall expense</t>
  </si>
  <si>
    <t>Opening expense + May expense</t>
  </si>
  <si>
    <t>Remaining split - gain</t>
  </si>
  <si>
    <t>Opening gain + interest + penalty; not negative expense</t>
  </si>
  <si>
    <t>Remaining split - savings</t>
  </si>
  <si>
    <t>Same as total savings</t>
  </si>
  <si>
    <t>Member Asha savings</t>
  </si>
  <si>
    <t>Savings field does not subtract expenses</t>
  </si>
  <si>
    <t>Member Asha gain</t>
  </si>
  <si>
    <t>Distributed gain from interest/penalty</t>
  </si>
  <si>
    <t>Member Asha expense</t>
  </si>
  <si>
    <t>Opening expense share + May expense share</t>
  </si>
  <si>
    <t>Member Asha outstanding loan</t>
  </si>
  <si>
    <t>Active loan outstanding principal</t>
  </si>
  <si>
    <t>Member Asha share amount</t>
  </si>
  <si>
    <t>Savings + gain - expense - outstanding loan</t>
  </si>
  <si>
    <t>Member Asha next minimum due</t>
  </si>
  <si>
    <t>Saving setup + interest due + penalty due</t>
  </si>
  <si>
    <t>If your app uses weighted group-gain distribution instead of equal distribution, replace member gain rows with the weighted result while keeping the same dashboard principles.</t>
  </si>
  <si>
    <t>Final End-To-End Regression</t>
  </si>
  <si>
    <t>Use this sheet after individual tests pass.</t>
  </si>
  <si>
    <t>Run Order</t>
  </si>
  <si>
    <t>End-to-End Flow</t>
  </si>
  <si>
    <t>Register Asha, create group, verify creator admin/member</t>
  </si>
  <si>
    <t>Asha appears in member LOV and admin role setup.</t>
  </si>
  <si>
    <t>Add Bhavna and Chitra, configure Chitra approver</t>
  </si>
  <si>
    <t>Only BG-T01 members are visible in BG-T01.</t>
  </si>
  <si>
    <t>Open May 2026 period</t>
  </si>
  <si>
    <t>May opens, other periods close.</t>
  </si>
  <si>
    <t>Enter group/member legacy migration and approve</t>
  </si>
  <si>
    <t>One clean history row per member; group opening has approval/history.</t>
  </si>
  <si>
    <t>Enter savings/excess and group expense</t>
  </si>
  <si>
    <t>Dashboard savings include excess; expense is split to active members.</t>
  </si>
  <si>
    <t>Request and approve loan</t>
  </si>
  <si>
    <t>Loan request appears in approvals and becomes active only after approvals complete.</t>
  </si>
  <si>
    <t>Enter repayment</t>
  </si>
  <si>
    <t>Preview calculates interest before save and applies repayment to interest then principal.</t>
  </si>
  <si>
    <t>Create adjustment/reversal and approve</t>
  </si>
  <si>
    <t>Dashboard updates only after approval; audit history is complete.</t>
  </si>
  <si>
    <t>Login as member</t>
  </si>
  <si>
    <t>Member has view-only access and can request own loan.</t>
  </si>
  <si>
    <t>Login as product owner</t>
  </si>
  <si>
    <t>Product owner dashboard, disputes, subscriptions and group inspection are visible without leaking wrong profile context.</t>
  </si>
  <si>
    <t>Compare dashboard with expected output sheet</t>
  </si>
  <si>
    <t>All key dashboard values match or differences are explained by changed test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</si>
</sst>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ptos"/>
    </font>
    <font>
      <b/>
      <sz val="18"/>
      <color rgb="FF0F172A"/>
      <name val="Aptos"/>
    </font>
    <font>
      <sz val="11"/>
      <color rgb="FF475569"/>
      <name val="Carlito"/>
    </font>
    <font>
      <b/>
      <sz val="11"/>
      <color rgb="FFFFFFFF"/>
      <name val="Carlito"/>
    </font>
    <font>
      <b/>
      <sz val="11"/>
      <color rgb="FF854D0E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wrapText="1"/>
    </xf>
    <xf numFmtId="2" fontId="0" fillId="0" borderId="1" xfId="0" applyNumberFormat="1" applyBorder="1" applyAlignment="1">
      <alignment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opLeftCell="A2" workbookViewId="0">
      <selection sqref="A1:H1"/>
    </sheetView>
  </sheetViews>
  <sheetFormatPr defaultRowHeight="13.8"/>
  <cols>
    <col min="1" max="1" width="23.69921875" bestFit="1" customWidth="1"/>
    <col min="2" max="2" width="69.09765625" bestFit="1" customWidth="1"/>
    <col min="3" max="3" width="71.19921875" bestFit="1" customWidth="1"/>
  </cols>
  <sheetData>
    <row r="1" spans="1:26" ht="59.4" customHeight="1">
      <c r="A1" s="6" t="s">
        <v>0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1</v>
      </c>
      <c r="B2" s="9"/>
      <c r="C2" s="9"/>
      <c r="D2" s="9"/>
      <c r="E2" s="9"/>
      <c r="F2" s="9"/>
      <c r="G2" s="9"/>
      <c r="H2" s="9"/>
    </row>
    <row r="4" spans="1:26">
      <c r="A4" s="1" t="s">
        <v>2</v>
      </c>
      <c r="B4" s="1" t="s">
        <v>3</v>
      </c>
      <c r="C4" s="1" t="s">
        <v>4</v>
      </c>
    </row>
    <row r="5" spans="1:26" ht="27.6">
      <c r="A5" s="2" t="s">
        <v>5</v>
      </c>
      <c r="B5" s="2" t="s">
        <v>6</v>
      </c>
      <c r="C5" s="2" t="s">
        <v>7</v>
      </c>
    </row>
    <row r="6" spans="1:26" ht="27.6">
      <c r="A6" s="2" t="s">
        <v>8</v>
      </c>
      <c r="B6" s="2" t="s">
        <v>9</v>
      </c>
      <c r="C6" s="2" t="s">
        <v>10</v>
      </c>
    </row>
    <row r="7" spans="1:26" ht="27.6">
      <c r="A7" s="2" t="s">
        <v>11</v>
      </c>
      <c r="B7" s="2" t="s">
        <v>12</v>
      </c>
      <c r="C7" s="2" t="s">
        <v>13</v>
      </c>
    </row>
    <row r="8" spans="1:26" ht="27.6">
      <c r="A8" s="2" t="s">
        <v>14</v>
      </c>
      <c r="B8" s="2" t="s">
        <v>15</v>
      </c>
      <c r="C8" s="2" t="s">
        <v>16</v>
      </c>
    </row>
    <row r="9" spans="1:26" ht="27.6">
      <c r="A9" s="2" t="s">
        <v>17</v>
      </c>
      <c r="B9" s="2" t="s">
        <v>18</v>
      </c>
      <c r="C9" s="2" t="s">
        <v>19</v>
      </c>
    </row>
    <row r="10" spans="1:26" ht="27.6">
      <c r="A10" s="2" t="s">
        <v>20</v>
      </c>
      <c r="B10" s="2" t="s">
        <v>21</v>
      </c>
      <c r="C10" s="2" t="s">
        <v>22</v>
      </c>
    </row>
    <row r="11" spans="1:26" ht="27.6">
      <c r="A11" s="2" t="s">
        <v>23</v>
      </c>
      <c r="B11" s="2" t="s">
        <v>24</v>
      </c>
      <c r="C11" s="2" t="s">
        <v>25</v>
      </c>
    </row>
    <row r="12" spans="1:26">
      <c r="A12" s="2" t="s">
        <v>26</v>
      </c>
      <c r="B12" s="2" t="s">
        <v>27</v>
      </c>
      <c r="C12" s="2" t="s">
        <v>28</v>
      </c>
    </row>
    <row r="13" spans="1:26">
      <c r="A13" s="2" t="s">
        <v>29</v>
      </c>
      <c r="B13" s="2" t="s">
        <v>30</v>
      </c>
      <c r="C13" s="2" t="s">
        <v>31</v>
      </c>
    </row>
    <row r="17" spans="1:1" ht="82.8">
      <c r="A17" s="3" t="s">
        <v>32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>
      <selection sqref="A1:H1"/>
    </sheetView>
  </sheetViews>
  <sheetFormatPr defaultRowHeight="13.8"/>
  <cols>
    <col min="1" max="1" width="14" customWidth="1"/>
    <col min="2" max="2" width="34" customWidth="1"/>
    <col min="3" max="3" width="58" customWidth="1"/>
    <col min="4" max="4" width="64" customWidth="1"/>
    <col min="5" max="5" width="24" customWidth="1"/>
    <col min="6" max="6" width="16" customWidth="1"/>
  </cols>
  <sheetData>
    <row r="1" spans="1:26">
      <c r="A1" s="6" t="s">
        <v>33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34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</row>
    <row r="5" spans="1:26" ht="27.6">
      <c r="A5" s="2" t="s">
        <v>41</v>
      </c>
      <c r="B5" s="2" t="s">
        <v>42</v>
      </c>
      <c r="C5" s="2" t="s">
        <v>43</v>
      </c>
      <c r="D5" s="2" t="s">
        <v>44</v>
      </c>
      <c r="E5" s="2"/>
      <c r="F5" s="2"/>
    </row>
    <row r="6" spans="1:26">
      <c r="A6" s="2" t="s">
        <v>45</v>
      </c>
      <c r="B6" s="2" t="s">
        <v>46</v>
      </c>
      <c r="C6" s="2" t="s">
        <v>47</v>
      </c>
      <c r="D6" s="2" t="s">
        <v>48</v>
      </c>
      <c r="E6" s="2"/>
      <c r="F6" s="2"/>
    </row>
    <row r="7" spans="1:26" ht="27.6">
      <c r="A7" s="2" t="s">
        <v>49</v>
      </c>
      <c r="B7" s="2" t="s">
        <v>50</v>
      </c>
      <c r="C7" s="2" t="s">
        <v>51</v>
      </c>
      <c r="D7" s="2" t="s">
        <v>52</v>
      </c>
      <c r="E7" s="2"/>
      <c r="F7" s="2"/>
    </row>
    <row r="8" spans="1:26">
      <c r="A8" s="2" t="s">
        <v>53</v>
      </c>
      <c r="B8" s="2" t="s">
        <v>54</v>
      </c>
      <c r="C8" s="2" t="s">
        <v>55</v>
      </c>
      <c r="D8" s="2" t="s">
        <v>56</v>
      </c>
      <c r="E8" s="2"/>
      <c r="F8" s="2"/>
    </row>
    <row r="9" spans="1:26">
      <c r="A9" s="2" t="s">
        <v>57</v>
      </c>
      <c r="B9" s="2" t="s">
        <v>58</v>
      </c>
      <c r="C9" s="2" t="s">
        <v>59</v>
      </c>
      <c r="D9" s="2" t="s">
        <v>60</v>
      </c>
      <c r="E9" s="2"/>
      <c r="F9" s="2"/>
    </row>
    <row r="10" spans="1:26">
      <c r="A10" s="2" t="s">
        <v>61</v>
      </c>
      <c r="B10" s="2" t="s">
        <v>62</v>
      </c>
      <c r="C10" s="2" t="s">
        <v>63</v>
      </c>
      <c r="D10" s="2" t="s">
        <v>64</v>
      </c>
      <c r="E10" s="2"/>
      <c r="F10" s="2"/>
    </row>
    <row r="11" spans="1:26">
      <c r="A11" s="2" t="s">
        <v>65</v>
      </c>
      <c r="B11" s="2" t="s">
        <v>66</v>
      </c>
      <c r="C11" s="2" t="s">
        <v>67</v>
      </c>
      <c r="D11" s="2" t="s">
        <v>68</v>
      </c>
      <c r="E11" s="2"/>
      <c r="F11" s="2"/>
    </row>
    <row r="12" spans="1:26" ht="27.6">
      <c r="A12" s="2" t="s">
        <v>69</v>
      </c>
      <c r="B12" s="2" t="s">
        <v>70</v>
      </c>
      <c r="C12" s="2" t="s">
        <v>71</v>
      </c>
      <c r="D12" s="2" t="s">
        <v>72</v>
      </c>
      <c r="E12" s="2"/>
      <c r="F12" s="2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"/>
  <sheetViews>
    <sheetView workbookViewId="0">
      <selection sqref="A1:H1"/>
    </sheetView>
  </sheetViews>
  <sheetFormatPr defaultRowHeight="13.8"/>
  <cols>
    <col min="1" max="1" width="14" customWidth="1"/>
    <col min="2" max="2" width="30" customWidth="1"/>
    <col min="3" max="3" width="60" customWidth="1"/>
    <col min="4" max="4" width="64" customWidth="1"/>
    <col min="5" max="5" width="24" customWidth="1"/>
    <col min="6" max="6" width="16" customWidth="1"/>
  </cols>
  <sheetData>
    <row r="1" spans="1:26">
      <c r="A1" s="6" t="s">
        <v>73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74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75</v>
      </c>
      <c r="C4" s="1" t="s">
        <v>76</v>
      </c>
      <c r="D4" s="1" t="s">
        <v>38</v>
      </c>
      <c r="E4" s="1" t="s">
        <v>39</v>
      </c>
      <c r="F4" s="1" t="s">
        <v>40</v>
      </c>
    </row>
    <row r="5" spans="1:26" ht="27.6">
      <c r="A5" s="2" t="s">
        <v>77</v>
      </c>
      <c r="B5" s="2" t="s">
        <v>78</v>
      </c>
      <c r="C5" s="2" t="s">
        <v>79</v>
      </c>
      <c r="D5" s="2" t="s">
        <v>80</v>
      </c>
      <c r="E5" s="2"/>
      <c r="F5" s="2"/>
    </row>
    <row r="6" spans="1:26">
      <c r="A6" s="2" t="s">
        <v>81</v>
      </c>
      <c r="B6" s="2" t="s">
        <v>82</v>
      </c>
      <c r="C6" s="2" t="s">
        <v>83</v>
      </c>
      <c r="D6" s="2" t="s">
        <v>84</v>
      </c>
      <c r="E6" s="2"/>
      <c r="F6" s="2"/>
    </row>
    <row r="7" spans="1:26" ht="27.6">
      <c r="A7" s="2" t="s">
        <v>85</v>
      </c>
      <c r="B7" s="2" t="s">
        <v>86</v>
      </c>
      <c r="C7" s="2" t="s">
        <v>87</v>
      </c>
      <c r="D7" s="2" t="s">
        <v>88</v>
      </c>
      <c r="E7" s="2"/>
      <c r="F7" s="2"/>
    </row>
    <row r="8" spans="1:26">
      <c r="A8" s="2" t="s">
        <v>89</v>
      </c>
      <c r="B8" s="2" t="s">
        <v>90</v>
      </c>
      <c r="C8" s="2" t="s">
        <v>91</v>
      </c>
      <c r="D8" s="2" t="s">
        <v>92</v>
      </c>
      <c r="E8" s="2"/>
      <c r="F8" s="2"/>
    </row>
    <row r="9" spans="1:26" ht="27.6">
      <c r="A9" s="2" t="s">
        <v>93</v>
      </c>
      <c r="B9" s="2" t="s">
        <v>94</v>
      </c>
      <c r="C9" s="2" t="s">
        <v>95</v>
      </c>
      <c r="D9" s="2" t="s">
        <v>96</v>
      </c>
      <c r="E9" s="2"/>
      <c r="F9" s="2"/>
    </row>
    <row r="10" spans="1:26" ht="27.6">
      <c r="A10" s="2" t="s">
        <v>97</v>
      </c>
      <c r="B10" s="2" t="s">
        <v>98</v>
      </c>
      <c r="C10" s="2" t="s">
        <v>99</v>
      </c>
      <c r="D10" s="2" t="s">
        <v>100</v>
      </c>
      <c r="E10" s="2"/>
      <c r="F10" s="2"/>
    </row>
    <row r="11" spans="1:26">
      <c r="A11" s="2" t="s">
        <v>101</v>
      </c>
      <c r="B11" s="2" t="s">
        <v>102</v>
      </c>
      <c r="C11" s="2" t="s">
        <v>103</v>
      </c>
      <c r="D11" s="2" t="s">
        <v>104</v>
      </c>
      <c r="E11" s="2"/>
      <c r="F11" s="2"/>
    </row>
    <row r="12" spans="1:26">
      <c r="A12" s="2" t="s">
        <v>105</v>
      </c>
      <c r="B12" s="2" t="s">
        <v>106</v>
      </c>
      <c r="C12" s="2" t="s">
        <v>107</v>
      </c>
      <c r="D12" s="2" t="s">
        <v>108</v>
      </c>
      <c r="E12" s="2"/>
      <c r="F12" s="2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>
      <selection sqref="A1:H1"/>
    </sheetView>
  </sheetViews>
  <sheetFormatPr defaultRowHeight="13.8"/>
  <cols>
    <col min="1" max="1" width="14" customWidth="1"/>
    <col min="2" max="2" width="34" customWidth="1"/>
    <col min="3" max="3" width="58" customWidth="1"/>
    <col min="4" max="4" width="68" customWidth="1"/>
    <col min="5" max="5" width="24" customWidth="1"/>
    <col min="6" max="6" width="16" customWidth="1"/>
  </cols>
  <sheetData>
    <row r="1" spans="1:26">
      <c r="A1" s="6" t="s">
        <v>109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110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36</v>
      </c>
      <c r="C4" s="1" t="s">
        <v>76</v>
      </c>
      <c r="D4" s="1" t="s">
        <v>38</v>
      </c>
      <c r="E4" s="1" t="s">
        <v>39</v>
      </c>
      <c r="F4" s="1" t="s">
        <v>40</v>
      </c>
    </row>
    <row r="5" spans="1:26" ht="27.6">
      <c r="A5" s="2" t="s">
        <v>111</v>
      </c>
      <c r="B5" s="2" t="s">
        <v>112</v>
      </c>
      <c r="C5" s="2" t="s">
        <v>113</v>
      </c>
      <c r="D5" s="2" t="s">
        <v>114</v>
      </c>
      <c r="E5" s="2"/>
      <c r="F5" s="2"/>
    </row>
    <row r="6" spans="1:26" ht="27.6">
      <c r="A6" s="2" t="s">
        <v>115</v>
      </c>
      <c r="B6" s="2" t="s">
        <v>116</v>
      </c>
      <c r="C6" s="2" t="s">
        <v>117</v>
      </c>
      <c r="D6" s="2" t="s">
        <v>118</v>
      </c>
      <c r="E6" s="2"/>
      <c r="F6" s="2"/>
    </row>
    <row r="7" spans="1:26" ht="27.6">
      <c r="A7" s="2" t="s">
        <v>119</v>
      </c>
      <c r="B7" s="2" t="s">
        <v>120</v>
      </c>
      <c r="C7" s="2" t="s">
        <v>121</v>
      </c>
      <c r="D7" s="2" t="s">
        <v>122</v>
      </c>
      <c r="E7" s="2"/>
      <c r="F7" s="2"/>
    </row>
    <row r="8" spans="1:26">
      <c r="A8" s="2" t="s">
        <v>123</v>
      </c>
      <c r="B8" s="2" t="s">
        <v>124</v>
      </c>
      <c r="C8" s="2" t="s">
        <v>125</v>
      </c>
      <c r="D8" s="2" t="s">
        <v>126</v>
      </c>
      <c r="E8" s="2"/>
      <c r="F8" s="2"/>
    </row>
    <row r="9" spans="1:26">
      <c r="A9" s="2" t="s">
        <v>127</v>
      </c>
      <c r="B9" s="2" t="s">
        <v>128</v>
      </c>
      <c r="C9" s="2" t="s">
        <v>129</v>
      </c>
      <c r="D9" s="2" t="s">
        <v>130</v>
      </c>
      <c r="E9" s="2"/>
      <c r="F9" s="2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"/>
  <sheetViews>
    <sheetView workbookViewId="0">
      <selection sqref="A1:H1"/>
    </sheetView>
  </sheetViews>
  <sheetFormatPr defaultRowHeight="13.8"/>
  <cols>
    <col min="1" max="1" width="14" customWidth="1"/>
    <col min="2" max="2" width="34" customWidth="1"/>
    <col min="3" max="3" width="58" customWidth="1"/>
    <col min="4" max="4" width="72" customWidth="1"/>
    <col min="5" max="5" width="24" customWidth="1"/>
    <col min="6" max="6" width="16" customWidth="1"/>
  </cols>
  <sheetData>
    <row r="1" spans="1:26">
      <c r="A1" s="6" t="s">
        <v>131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132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36</v>
      </c>
      <c r="C4" s="1" t="s">
        <v>76</v>
      </c>
      <c r="D4" s="1" t="s">
        <v>133</v>
      </c>
      <c r="E4" s="1" t="s">
        <v>39</v>
      </c>
      <c r="F4" s="1" t="s">
        <v>40</v>
      </c>
    </row>
    <row r="5" spans="1:26">
      <c r="A5" s="2" t="s">
        <v>134</v>
      </c>
      <c r="B5" s="2" t="s">
        <v>135</v>
      </c>
      <c r="C5" s="2" t="s">
        <v>136</v>
      </c>
      <c r="D5" s="2" t="s">
        <v>137</v>
      </c>
      <c r="E5" s="2"/>
      <c r="F5" s="2"/>
    </row>
    <row r="6" spans="1:26">
      <c r="A6" s="2" t="s">
        <v>138</v>
      </c>
      <c r="B6" s="2" t="s">
        <v>139</v>
      </c>
      <c r="C6" s="2" t="s">
        <v>140</v>
      </c>
      <c r="D6" s="2" t="s">
        <v>141</v>
      </c>
      <c r="E6" s="2"/>
      <c r="F6" s="2"/>
    </row>
    <row r="7" spans="1:26">
      <c r="A7" s="2" t="s">
        <v>142</v>
      </c>
      <c r="B7" s="2" t="s">
        <v>143</v>
      </c>
      <c r="C7" s="2" t="s">
        <v>144</v>
      </c>
      <c r="D7" s="2" t="s">
        <v>145</v>
      </c>
      <c r="E7" s="2"/>
      <c r="F7" s="2"/>
    </row>
    <row r="8" spans="1:26">
      <c r="A8" s="2" t="s">
        <v>146</v>
      </c>
      <c r="B8" s="2" t="s">
        <v>147</v>
      </c>
      <c r="C8" s="2" t="s">
        <v>148</v>
      </c>
      <c r="D8" s="2" t="s">
        <v>149</v>
      </c>
      <c r="E8" s="2"/>
      <c r="F8" s="2"/>
    </row>
    <row r="9" spans="1:26">
      <c r="A9" s="2" t="s">
        <v>150</v>
      </c>
      <c r="B9" s="2" t="s">
        <v>151</v>
      </c>
      <c r="C9" s="2" t="s">
        <v>152</v>
      </c>
      <c r="D9" s="2" t="s">
        <v>153</v>
      </c>
      <c r="E9" s="2"/>
      <c r="F9" s="2"/>
    </row>
    <row r="10" spans="1:26" ht="27.6">
      <c r="A10" s="2" t="s">
        <v>154</v>
      </c>
      <c r="B10" s="2" t="s">
        <v>155</v>
      </c>
      <c r="C10" s="2" t="s">
        <v>156</v>
      </c>
      <c r="D10" s="2" t="s">
        <v>157</v>
      </c>
      <c r="E10" s="2"/>
      <c r="F10" s="2"/>
    </row>
    <row r="11" spans="1:26" ht="27.6">
      <c r="A11" s="2" t="s">
        <v>158</v>
      </c>
      <c r="B11" s="2" t="s">
        <v>159</v>
      </c>
      <c r="C11" s="2" t="s">
        <v>160</v>
      </c>
      <c r="D11" s="2" t="s">
        <v>161</v>
      </c>
      <c r="E11" s="2"/>
      <c r="F11" s="2"/>
    </row>
    <row r="12" spans="1:26" ht="27.6">
      <c r="A12" s="2" t="s">
        <v>162</v>
      </c>
      <c r="B12" s="2" t="s">
        <v>163</v>
      </c>
      <c r="C12" s="2" t="s">
        <v>164</v>
      </c>
      <c r="D12" s="2" t="s">
        <v>165</v>
      </c>
      <c r="E12" s="2"/>
      <c r="F12" s="2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workbookViewId="0">
      <selection sqref="A1:H1"/>
    </sheetView>
  </sheetViews>
  <sheetFormatPr defaultRowHeight="13.8"/>
  <cols>
    <col min="1" max="1" width="14" customWidth="1"/>
    <col min="2" max="2" width="36" customWidth="1"/>
    <col min="3" max="3" width="58" customWidth="1"/>
    <col min="4" max="4" width="72" customWidth="1"/>
    <col min="5" max="5" width="24" customWidth="1"/>
    <col min="6" max="6" width="16" customWidth="1"/>
  </cols>
  <sheetData>
    <row r="1" spans="1:26">
      <c r="A1" s="6" t="s">
        <v>166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167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36</v>
      </c>
      <c r="C4" s="1" t="s">
        <v>76</v>
      </c>
      <c r="D4" s="1" t="s">
        <v>38</v>
      </c>
      <c r="E4" s="1" t="s">
        <v>39</v>
      </c>
      <c r="F4" s="1" t="s">
        <v>40</v>
      </c>
    </row>
    <row r="5" spans="1:26" ht="27.6">
      <c r="A5" s="2" t="s">
        <v>168</v>
      </c>
      <c r="B5" s="2" t="s">
        <v>169</v>
      </c>
      <c r="C5" s="2" t="s">
        <v>170</v>
      </c>
      <c r="D5" s="2" t="s">
        <v>171</v>
      </c>
      <c r="E5" s="2"/>
      <c r="F5" s="2"/>
    </row>
    <row r="6" spans="1:26">
      <c r="A6" s="2" t="s">
        <v>172</v>
      </c>
      <c r="B6" s="2" t="s">
        <v>173</v>
      </c>
      <c r="C6" s="2" t="s">
        <v>174</v>
      </c>
      <c r="D6" s="2" t="s">
        <v>175</v>
      </c>
      <c r="E6" s="2"/>
      <c r="F6" s="2"/>
    </row>
    <row r="7" spans="1:26" ht="27.6">
      <c r="A7" s="2" t="s">
        <v>176</v>
      </c>
      <c r="B7" s="2" t="s">
        <v>177</v>
      </c>
      <c r="C7" s="2" t="s">
        <v>178</v>
      </c>
      <c r="D7" s="2" t="s">
        <v>179</v>
      </c>
      <c r="E7" s="2"/>
      <c r="F7" s="2"/>
    </row>
    <row r="8" spans="1:26">
      <c r="A8" s="2" t="s">
        <v>180</v>
      </c>
      <c r="B8" s="2" t="s">
        <v>181</v>
      </c>
      <c r="C8" s="2" t="s">
        <v>182</v>
      </c>
      <c r="D8" s="2" t="s">
        <v>183</v>
      </c>
      <c r="E8" s="2"/>
      <c r="F8" s="2"/>
    </row>
    <row r="9" spans="1:26">
      <c r="A9" s="2" t="s">
        <v>184</v>
      </c>
      <c r="B9" s="2" t="s">
        <v>185</v>
      </c>
      <c r="C9" s="2" t="s">
        <v>186</v>
      </c>
      <c r="D9" s="2" t="s">
        <v>187</v>
      </c>
      <c r="E9" s="2"/>
      <c r="F9" s="2"/>
    </row>
    <row r="10" spans="1:26">
      <c r="A10" s="2" t="s">
        <v>188</v>
      </c>
      <c r="B10" s="2" t="s">
        <v>189</v>
      </c>
      <c r="C10" s="2" t="s">
        <v>190</v>
      </c>
      <c r="D10" s="2" t="s">
        <v>191</v>
      </c>
      <c r="E10" s="2"/>
      <c r="F10" s="2"/>
    </row>
    <row r="11" spans="1:26">
      <c r="A11" s="2" t="s">
        <v>192</v>
      </c>
      <c r="B11" s="2" t="s">
        <v>193</v>
      </c>
      <c r="C11" s="2" t="s">
        <v>194</v>
      </c>
      <c r="D11" s="2" t="s">
        <v>195</v>
      </c>
      <c r="E11" s="2"/>
      <c r="F11" s="2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"/>
  <sheetViews>
    <sheetView workbookViewId="0">
      <selection sqref="A1:H1"/>
    </sheetView>
  </sheetViews>
  <sheetFormatPr defaultRowHeight="13.8"/>
  <cols>
    <col min="1" max="1" width="14" customWidth="1"/>
    <col min="2" max="2" width="36" customWidth="1"/>
    <col min="3" max="3" width="58" customWidth="1"/>
    <col min="4" max="4" width="72" customWidth="1"/>
    <col min="5" max="5" width="24" customWidth="1"/>
    <col min="6" max="6" width="16" customWidth="1"/>
  </cols>
  <sheetData>
    <row r="1" spans="1:26">
      <c r="A1" s="6" t="s">
        <v>196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197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36</v>
      </c>
      <c r="C4" s="1" t="s">
        <v>76</v>
      </c>
      <c r="D4" s="1" t="s">
        <v>38</v>
      </c>
      <c r="E4" s="1" t="s">
        <v>39</v>
      </c>
      <c r="F4" s="1" t="s">
        <v>40</v>
      </c>
    </row>
    <row r="5" spans="1:26">
      <c r="A5" s="2" t="s">
        <v>198</v>
      </c>
      <c r="B5" s="2" t="s">
        <v>199</v>
      </c>
      <c r="C5" s="2" t="s">
        <v>200</v>
      </c>
      <c r="D5" s="2" t="s">
        <v>201</v>
      </c>
      <c r="E5" s="2"/>
      <c r="F5" s="2"/>
    </row>
    <row r="6" spans="1:26">
      <c r="A6" s="2" t="s">
        <v>202</v>
      </c>
      <c r="B6" s="2" t="s">
        <v>203</v>
      </c>
      <c r="C6" s="2" t="s">
        <v>204</v>
      </c>
      <c r="D6" s="2" t="s">
        <v>205</v>
      </c>
      <c r="E6" s="2"/>
      <c r="F6" s="2"/>
    </row>
    <row r="7" spans="1:26">
      <c r="A7" s="2" t="s">
        <v>206</v>
      </c>
      <c r="B7" s="2" t="s">
        <v>207</v>
      </c>
      <c r="C7" s="2" t="s">
        <v>208</v>
      </c>
      <c r="D7" s="2" t="s">
        <v>209</v>
      </c>
      <c r="E7" s="2"/>
      <c r="F7" s="2"/>
    </row>
    <row r="8" spans="1:26">
      <c r="A8" s="2" t="s">
        <v>210</v>
      </c>
      <c r="B8" s="2" t="s">
        <v>211</v>
      </c>
      <c r="C8" s="2" t="s">
        <v>212</v>
      </c>
      <c r="D8" s="2" t="s">
        <v>213</v>
      </c>
      <c r="E8" s="2"/>
      <c r="F8" s="2"/>
    </row>
    <row r="9" spans="1:26">
      <c r="A9" s="2" t="s">
        <v>214</v>
      </c>
      <c r="B9" s="2" t="s">
        <v>215</v>
      </c>
      <c r="C9" s="2" t="s">
        <v>216</v>
      </c>
      <c r="D9" s="2" t="s">
        <v>217</v>
      </c>
      <c r="E9" s="2"/>
      <c r="F9" s="2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>
      <selection sqref="A1:H1"/>
    </sheetView>
  </sheetViews>
  <sheetFormatPr defaultRowHeight="13.8"/>
  <cols>
    <col min="1" max="1" width="14" customWidth="1"/>
    <col min="2" max="2" width="36" customWidth="1"/>
    <col min="3" max="3" width="58" customWidth="1"/>
    <col min="4" max="4" width="72" customWidth="1"/>
    <col min="5" max="5" width="24" customWidth="1"/>
    <col min="6" max="6" width="16" customWidth="1"/>
  </cols>
  <sheetData>
    <row r="1" spans="1:26">
      <c r="A1" s="6" t="s">
        <v>218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219</v>
      </c>
      <c r="B2" s="9"/>
      <c r="C2" s="9"/>
      <c r="D2" s="9"/>
      <c r="E2" s="9"/>
      <c r="F2" s="9"/>
      <c r="G2" s="9"/>
      <c r="H2" s="9"/>
    </row>
    <row r="4" spans="1:26">
      <c r="A4" s="1" t="s">
        <v>35</v>
      </c>
      <c r="B4" s="1" t="s">
        <v>36</v>
      </c>
      <c r="C4" s="1" t="s">
        <v>220</v>
      </c>
      <c r="D4" s="1" t="s">
        <v>38</v>
      </c>
      <c r="E4" s="1" t="s">
        <v>39</v>
      </c>
      <c r="F4" s="1" t="s">
        <v>40</v>
      </c>
    </row>
    <row r="5" spans="1:26" ht="27.6">
      <c r="A5" s="2" t="s">
        <v>221</v>
      </c>
      <c r="B5" s="2" t="s">
        <v>222</v>
      </c>
      <c r="C5" s="2" t="s">
        <v>223</v>
      </c>
      <c r="D5" s="2" t="s">
        <v>224</v>
      </c>
      <c r="E5" s="2"/>
      <c r="F5" s="2"/>
    </row>
    <row r="6" spans="1:26">
      <c r="A6" s="2" t="s">
        <v>225</v>
      </c>
      <c r="B6" s="2" t="s">
        <v>226</v>
      </c>
      <c r="C6" s="2" t="s">
        <v>227</v>
      </c>
      <c r="D6" s="2" t="s">
        <v>228</v>
      </c>
      <c r="E6" s="2"/>
      <c r="F6" s="2"/>
    </row>
    <row r="7" spans="1:26">
      <c r="A7" s="2" t="s">
        <v>229</v>
      </c>
      <c r="B7" s="2" t="s">
        <v>230</v>
      </c>
      <c r="C7" s="2" t="s">
        <v>231</v>
      </c>
      <c r="D7" s="2" t="s">
        <v>232</v>
      </c>
      <c r="E7" s="2"/>
      <c r="F7" s="2"/>
    </row>
    <row r="8" spans="1:26">
      <c r="A8" s="2" t="s">
        <v>233</v>
      </c>
      <c r="B8" s="2" t="s">
        <v>234</v>
      </c>
      <c r="C8" s="2" t="s">
        <v>235</v>
      </c>
      <c r="D8" s="2" t="s">
        <v>236</v>
      </c>
      <c r="E8" s="2"/>
      <c r="F8" s="2"/>
    </row>
    <row r="9" spans="1:26" ht="27.6">
      <c r="A9" s="2" t="s">
        <v>237</v>
      </c>
      <c r="B9" s="2" t="s">
        <v>238</v>
      </c>
      <c r="C9" s="2" t="s">
        <v>239</v>
      </c>
      <c r="D9" s="2" t="s">
        <v>240</v>
      </c>
      <c r="E9" s="2"/>
      <c r="F9" s="2"/>
    </row>
    <row r="10" spans="1:26">
      <c r="A10" s="2" t="s">
        <v>241</v>
      </c>
      <c r="B10" s="2" t="s">
        <v>242</v>
      </c>
      <c r="C10" s="2" t="s">
        <v>243</v>
      </c>
      <c r="D10" s="2" t="s">
        <v>244</v>
      </c>
      <c r="E10" s="2"/>
      <c r="F10" s="2"/>
    </row>
    <row r="11" spans="1:26">
      <c r="A11" s="2" t="s">
        <v>245</v>
      </c>
      <c r="B11" s="2" t="s">
        <v>246</v>
      </c>
      <c r="C11" s="2" t="s">
        <v>247</v>
      </c>
      <c r="D11" s="2" t="s">
        <v>248</v>
      </c>
      <c r="E11" s="2"/>
      <c r="F11" s="2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7"/>
  <sheetViews>
    <sheetView workbookViewId="0">
      <selection sqref="A1:H1"/>
    </sheetView>
  </sheetViews>
  <sheetFormatPr defaultRowHeight="13.8"/>
  <cols>
    <col min="1" max="1" width="42" customWidth="1"/>
    <col min="2" max="2" width="18" customWidth="1"/>
    <col min="3" max="3" width="80" customWidth="1"/>
  </cols>
  <sheetData>
    <row r="1" spans="1:26">
      <c r="A1" s="6" t="s">
        <v>249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250</v>
      </c>
      <c r="B2" s="9"/>
      <c r="C2" s="9"/>
      <c r="D2" s="9"/>
      <c r="E2" s="9"/>
      <c r="F2" s="9"/>
      <c r="G2" s="9"/>
      <c r="H2" s="9"/>
    </row>
    <row r="4" spans="1:26">
      <c r="A4" s="1" t="s">
        <v>251</v>
      </c>
      <c r="B4" s="1" t="s">
        <v>252</v>
      </c>
      <c r="C4" s="1" t="s">
        <v>253</v>
      </c>
    </row>
    <row r="5" spans="1:26">
      <c r="A5" s="2" t="s">
        <v>254</v>
      </c>
      <c r="B5" s="2">
        <v>3</v>
      </c>
      <c r="C5" s="2" t="s">
        <v>255</v>
      </c>
    </row>
    <row r="6" spans="1:26">
      <c r="A6" s="2" t="s">
        <v>256</v>
      </c>
      <c r="B6" s="2">
        <v>1000</v>
      </c>
      <c r="C6" s="2" t="s">
        <v>78</v>
      </c>
    </row>
    <row r="7" spans="1:26">
      <c r="A7" s="2" t="s">
        <v>257</v>
      </c>
      <c r="B7" s="2">
        <v>1500</v>
      </c>
      <c r="C7" s="2" t="s">
        <v>86</v>
      </c>
    </row>
    <row r="8" spans="1:26">
      <c r="A8" s="2" t="s">
        <v>258</v>
      </c>
      <c r="B8" s="4">
        <v>0.02</v>
      </c>
      <c r="C8" s="2" t="s">
        <v>259</v>
      </c>
    </row>
    <row r="9" spans="1:26">
      <c r="A9" s="2" t="s">
        <v>260</v>
      </c>
      <c r="B9" s="4">
        <v>10</v>
      </c>
      <c r="C9" s="2" t="s">
        <v>261</v>
      </c>
    </row>
    <row r="10" spans="1:26">
      <c r="A10" s="2" t="s">
        <v>262</v>
      </c>
      <c r="B10" s="4">
        <v>5000</v>
      </c>
      <c r="C10" s="2" t="s">
        <v>263</v>
      </c>
    </row>
    <row r="11" spans="1:26">
      <c r="A11" s="2" t="s">
        <v>264</v>
      </c>
      <c r="B11" s="4">
        <v>600</v>
      </c>
      <c r="C11" s="2" t="s">
        <v>265</v>
      </c>
    </row>
    <row r="12" spans="1:26">
      <c r="A12" s="2" t="s">
        <v>266</v>
      </c>
      <c r="B12" s="4">
        <v>300</v>
      </c>
      <c r="C12" s="2" t="s">
        <v>267</v>
      </c>
    </row>
    <row r="13" spans="1:26">
      <c r="A13" s="2" t="s">
        <v>268</v>
      </c>
      <c r="B13" s="4">
        <v>2000</v>
      </c>
      <c r="C13" s="2" t="s">
        <v>269</v>
      </c>
    </row>
    <row r="14" spans="1:26">
      <c r="A14" s="2" t="s">
        <v>270</v>
      </c>
      <c r="B14" s="4">
        <v>1000</v>
      </c>
      <c r="C14" s="2" t="s">
        <v>269</v>
      </c>
    </row>
    <row r="15" spans="1:26">
      <c r="A15" s="2" t="s">
        <v>271</v>
      </c>
      <c r="B15" s="4">
        <v>1000</v>
      </c>
      <c r="C15" s="2" t="s">
        <v>134</v>
      </c>
    </row>
    <row r="16" spans="1:26">
      <c r="A16" s="2" t="s">
        <v>272</v>
      </c>
      <c r="B16" s="4">
        <v>2000</v>
      </c>
      <c r="C16" s="2" t="s">
        <v>273</v>
      </c>
    </row>
    <row r="17" spans="1:3">
      <c r="A17" s="2" t="s">
        <v>274</v>
      </c>
      <c r="B17" s="4">
        <v>5000</v>
      </c>
      <c r="C17" s="2" t="s">
        <v>180</v>
      </c>
    </row>
    <row r="18" spans="1:3">
      <c r="A18" s="2" t="s">
        <v>275</v>
      </c>
      <c r="B18" s="4">
        <v>1200</v>
      </c>
      <c r="C18" s="2" t="s">
        <v>142</v>
      </c>
    </row>
    <row r="19" spans="1:3">
      <c r="A19" s="2" t="s">
        <v>276</v>
      </c>
      <c r="B19" s="4">
        <v>1000</v>
      </c>
      <c r="C19" s="2" t="s">
        <v>277</v>
      </c>
    </row>
    <row r="20" spans="1:3">
      <c r="A20" s="2" t="s">
        <v>278</v>
      </c>
      <c r="B20" s="4">
        <v>33</v>
      </c>
      <c r="C20" s="2" t="s">
        <v>279</v>
      </c>
    </row>
    <row r="21" spans="1:3">
      <c r="A21" s="2" t="s">
        <v>280</v>
      </c>
      <c r="B21" s="4">
        <v>167</v>
      </c>
      <c r="C21" s="2" t="s">
        <v>281</v>
      </c>
    </row>
    <row r="22" spans="1:3">
      <c r="A22" s="2" t="s">
        <v>282</v>
      </c>
      <c r="B22" s="4">
        <v>0</v>
      </c>
      <c r="C22" s="2" t="s">
        <v>283</v>
      </c>
    </row>
    <row r="23" spans="1:3">
      <c r="A23" s="2" t="s">
        <v>284</v>
      </c>
      <c r="B23" s="4">
        <v>300</v>
      </c>
      <c r="C23" s="2" t="s">
        <v>158</v>
      </c>
    </row>
    <row r="24" spans="1:3">
      <c r="A24" s="2" t="s">
        <v>285</v>
      </c>
      <c r="B24" s="4">
        <v>100</v>
      </c>
      <c r="C24" s="2" t="s">
        <v>286</v>
      </c>
    </row>
    <row r="25" spans="1:3">
      <c r="A25" s="2" t="s">
        <v>287</v>
      </c>
      <c r="B25" s="4">
        <v>11</v>
      </c>
      <c r="C25" s="2" t="s">
        <v>288</v>
      </c>
    </row>
    <row r="26" spans="1:3">
      <c r="A26" s="2" t="s">
        <v>289</v>
      </c>
      <c r="B26" s="4">
        <v>11</v>
      </c>
      <c r="C26" s="2" t="s">
        <v>290</v>
      </c>
    </row>
    <row r="27" spans="1:3">
      <c r="A27" s="2" t="s">
        <v>291</v>
      </c>
      <c r="B27" s="4">
        <v>11</v>
      </c>
      <c r="C27" s="2" t="s">
        <v>290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2"/>
  <sheetViews>
    <sheetView topLeftCell="A16" workbookViewId="0">
      <selection sqref="A1:H1"/>
    </sheetView>
  </sheetViews>
  <sheetFormatPr defaultRowHeight="13.8"/>
  <cols>
    <col min="1" max="1" width="36" customWidth="1"/>
    <col min="2" max="2" width="20" customWidth="1"/>
    <col min="3" max="3" width="82" customWidth="1"/>
    <col min="4" max="4" width="24" customWidth="1"/>
    <col min="5" max="5" width="16" customWidth="1"/>
  </cols>
  <sheetData>
    <row r="1" spans="1:26">
      <c r="A1" s="6" t="s">
        <v>292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293</v>
      </c>
      <c r="B2" s="9"/>
      <c r="C2" s="9"/>
      <c r="D2" s="9"/>
      <c r="E2" s="9"/>
      <c r="F2" s="9"/>
      <c r="G2" s="9"/>
      <c r="H2" s="9"/>
    </row>
    <row r="4" spans="1:26">
      <c r="A4" s="1" t="s">
        <v>294</v>
      </c>
      <c r="B4" s="1" t="s">
        <v>295</v>
      </c>
      <c r="C4" s="1" t="s">
        <v>296</v>
      </c>
      <c r="D4" s="1" t="s">
        <v>297</v>
      </c>
      <c r="E4" s="1" t="s">
        <v>298</v>
      </c>
    </row>
    <row r="5" spans="1:26">
      <c r="A5" s="2" t="s">
        <v>299</v>
      </c>
      <c r="B5" s="4">
        <f>'09 Calculation Details'!B13+'09 Calculation Details'!B14+'09 Calculation Details'!B15+'09 Calculation Details'!B16+'09 Calculation Details'!B18</f>
        <v>7200</v>
      </c>
      <c r="C5" s="2" t="s">
        <v>300</v>
      </c>
      <c r="D5" s="2"/>
      <c r="E5" s="2"/>
    </row>
    <row r="6" spans="1:26">
      <c r="A6" s="2" t="s">
        <v>301</v>
      </c>
      <c r="B6" s="4">
        <f>'09 Calculation Details'!B15+'09 Calculation Details'!B16+'09 Calculation Details'!B18+'09 Calculation Details'!B19+'09 Calculation Details'!B20</f>
        <v>5233</v>
      </c>
      <c r="C6" s="2" t="s">
        <v>302</v>
      </c>
      <c r="D6" s="2"/>
      <c r="E6" s="2"/>
    </row>
    <row r="7" spans="1:26">
      <c r="A7" s="2" t="s">
        <v>303</v>
      </c>
      <c r="B7" s="4">
        <f>'09 Calculation Details'!B15+'09 Calculation Details'!B16+'09 Calculation Details'!B18</f>
        <v>4200</v>
      </c>
      <c r="C7" s="2" t="s">
        <v>304</v>
      </c>
      <c r="D7" s="2"/>
      <c r="E7" s="2"/>
    </row>
    <row r="8" spans="1:26">
      <c r="A8" s="2" t="s">
        <v>305</v>
      </c>
      <c r="B8" s="4">
        <f>'09 Calculation Details'!B19</f>
        <v>1000</v>
      </c>
      <c r="C8" s="2" t="s">
        <v>306</v>
      </c>
      <c r="D8" s="2"/>
      <c r="E8" s="2"/>
    </row>
    <row r="9" spans="1:26">
      <c r="A9" s="2" t="s">
        <v>307</v>
      </c>
      <c r="B9" s="4">
        <f>'09 Calculation Details'!B20</f>
        <v>33</v>
      </c>
      <c r="C9" s="2" t="s">
        <v>308</v>
      </c>
      <c r="D9" s="2"/>
      <c r="E9" s="2"/>
    </row>
    <row r="10" spans="1:26">
      <c r="A10" s="2" t="s">
        <v>309</v>
      </c>
      <c r="B10" s="4">
        <f>'09 Calculation Details'!B21</f>
        <v>167</v>
      </c>
      <c r="C10" s="2" t="s">
        <v>310</v>
      </c>
      <c r="D10" s="2"/>
      <c r="E10" s="2"/>
    </row>
    <row r="11" spans="1:26">
      <c r="A11" s="2" t="s">
        <v>311</v>
      </c>
      <c r="B11" s="4">
        <v>1</v>
      </c>
      <c r="C11" s="2" t="s">
        <v>312</v>
      </c>
      <c r="D11" s="2"/>
      <c r="E11" s="2"/>
    </row>
    <row r="12" spans="1:26">
      <c r="A12" s="2" t="s">
        <v>313</v>
      </c>
      <c r="B12" s="4">
        <v>0</v>
      </c>
      <c r="C12" s="2" t="s">
        <v>314</v>
      </c>
      <c r="D12" s="2"/>
      <c r="E12" s="2"/>
    </row>
    <row r="13" spans="1:26">
      <c r="A13" s="2" t="s">
        <v>315</v>
      </c>
      <c r="B13" s="4">
        <v>1</v>
      </c>
      <c r="C13" s="2" t="s">
        <v>316</v>
      </c>
      <c r="D13" s="2"/>
      <c r="E13" s="2"/>
    </row>
    <row r="14" spans="1:26">
      <c r="A14" s="2" t="s">
        <v>317</v>
      </c>
      <c r="B14" s="4">
        <v>1</v>
      </c>
      <c r="C14" s="2" t="s">
        <v>318</v>
      </c>
      <c r="D14" s="2"/>
      <c r="E14" s="2"/>
    </row>
    <row r="15" spans="1:26">
      <c r="A15" s="2" t="s">
        <v>319</v>
      </c>
      <c r="B15" s="4">
        <f>'09 Calculation Details'!B17-'09 Calculation Details'!B19</f>
        <v>4000</v>
      </c>
      <c r="C15" s="2" t="s">
        <v>320</v>
      </c>
      <c r="D15" s="2"/>
      <c r="E15" s="2"/>
    </row>
    <row r="16" spans="1:26">
      <c r="A16" s="2" t="s">
        <v>321</v>
      </c>
      <c r="B16" s="4">
        <f>'09 Calculation Details'!B17</f>
        <v>5000</v>
      </c>
      <c r="C16" s="2" t="s">
        <v>322</v>
      </c>
      <c r="D16" s="2"/>
      <c r="E16" s="2"/>
    </row>
    <row r="17" spans="1:5">
      <c r="A17" s="2" t="s">
        <v>323</v>
      </c>
      <c r="B17" s="4">
        <f>'09 Calculation Details'!B17</f>
        <v>5000</v>
      </c>
      <c r="C17" s="2" t="s">
        <v>324</v>
      </c>
      <c r="D17" s="2"/>
      <c r="E17" s="2"/>
    </row>
    <row r="18" spans="1:5">
      <c r="A18" s="2" t="s">
        <v>325</v>
      </c>
      <c r="B18" s="4">
        <f>'09 Calculation Details'!B19</f>
        <v>1000</v>
      </c>
      <c r="C18" s="2" t="s">
        <v>326</v>
      </c>
      <c r="D18" s="2"/>
      <c r="E18" s="2"/>
    </row>
    <row r="19" spans="1:5">
      <c r="A19" s="2" t="s">
        <v>327</v>
      </c>
      <c r="B19" s="4">
        <f>'09 Calculation Details'!B9+B5+'09 Calculation Details'!B10-'09 Calculation Details'!B17-('09 Calculation Details'!B11+'09 Calculation Details'!B22)</f>
        <v>6610</v>
      </c>
      <c r="C19" s="2" t="s">
        <v>328</v>
      </c>
      <c r="D19" s="2"/>
      <c r="E19" s="2"/>
    </row>
    <row r="20" spans="1:5">
      <c r="A20" s="2" t="s">
        <v>329</v>
      </c>
      <c r="B20" s="4">
        <f>'09 Calculation Details'!B17-'09 Calculation Details'!B19</f>
        <v>4000</v>
      </c>
      <c r="C20" s="2" t="s">
        <v>330</v>
      </c>
      <c r="D20" s="2"/>
      <c r="E20" s="2"/>
    </row>
    <row r="21" spans="1:5">
      <c r="A21" s="2" t="s">
        <v>331</v>
      </c>
      <c r="B21" s="4">
        <f>'09 Calculation Details'!B11+'09 Calculation Details'!B22</f>
        <v>600</v>
      </c>
      <c r="C21" s="2" t="s">
        <v>332</v>
      </c>
      <c r="D21" s="2"/>
      <c r="E21" s="2"/>
    </row>
    <row r="22" spans="1:5">
      <c r="A22" s="2" t="s">
        <v>333</v>
      </c>
      <c r="B22" s="4">
        <f>'09 Calculation Details'!B10+'09 Calculation Details'!B20+'09 Calculation Details'!B21</f>
        <v>5200</v>
      </c>
      <c r="C22" s="2" t="s">
        <v>334</v>
      </c>
      <c r="D22" s="2"/>
      <c r="E22" s="2"/>
    </row>
    <row r="23" spans="1:5">
      <c r="A23" s="2" t="s">
        <v>335</v>
      </c>
      <c r="B23" s="4">
        <f>B5</f>
        <v>7200</v>
      </c>
      <c r="C23" s="2" t="s">
        <v>336</v>
      </c>
      <c r="D23" s="2"/>
      <c r="E23" s="2"/>
    </row>
    <row r="24" spans="1:5">
      <c r="A24" s="2" t="s">
        <v>337</v>
      </c>
      <c r="B24" s="4">
        <f>'09 Calculation Details'!B13+'09 Calculation Details'!B15+'09 Calculation Details'!B18</f>
        <v>4200</v>
      </c>
      <c r="C24" s="2" t="s">
        <v>338</v>
      </c>
      <c r="D24" s="2"/>
      <c r="E24" s="2"/>
    </row>
    <row r="25" spans="1:5">
      <c r="A25" s="2" t="s">
        <v>339</v>
      </c>
      <c r="B25" s="4">
        <f>'09 Calculation Details'!B24</f>
        <v>100</v>
      </c>
      <c r="C25" s="2" t="s">
        <v>340</v>
      </c>
      <c r="D25" s="2"/>
      <c r="E25" s="2"/>
    </row>
    <row r="26" spans="1:5">
      <c r="A26" s="2" t="s">
        <v>341</v>
      </c>
      <c r="B26" s="4">
        <f>'09 Calculation Details'!B11/'09 Calculation Details'!B7+'09 Calculation Details'!B23</f>
        <v>300.39999999999998</v>
      </c>
      <c r="C26" s="2" t="s">
        <v>342</v>
      </c>
      <c r="D26" s="2"/>
      <c r="E26" s="2"/>
    </row>
    <row r="27" spans="1:5">
      <c r="A27" s="2" t="s">
        <v>343</v>
      </c>
      <c r="B27" s="4">
        <f>'09 Calculation Details'!B17-'09 Calculation Details'!B19</f>
        <v>4000</v>
      </c>
      <c r="C27" s="2" t="s">
        <v>344</v>
      </c>
      <c r="D27" s="2"/>
      <c r="E27" s="2"/>
    </row>
    <row r="28" spans="1:5">
      <c r="A28" s="2" t="s">
        <v>345</v>
      </c>
      <c r="B28" s="4">
        <f>B24+B25-B26-B27</f>
        <v>-0.40000000000009095</v>
      </c>
      <c r="C28" s="2" t="s">
        <v>346</v>
      </c>
      <c r="D28" s="2"/>
      <c r="E28" s="2"/>
    </row>
    <row r="29" spans="1:5">
      <c r="A29" s="2" t="s">
        <v>347</v>
      </c>
      <c r="B29" s="4">
        <f>'09 Calculation Details'!B5+'09 Calculation Details'!B20+'09 Calculation Details'!B21</f>
        <v>203</v>
      </c>
      <c r="C29" s="2" t="s">
        <v>348</v>
      </c>
      <c r="D29" s="2"/>
      <c r="E29" s="2"/>
    </row>
    <row r="32" spans="1:5" ht="69">
      <c r="A32" s="3" t="s">
        <v>349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5"/>
  <sheetViews>
    <sheetView tabSelected="1" workbookViewId="0">
      <selection activeCell="B9" sqref="B9"/>
    </sheetView>
  </sheetViews>
  <sheetFormatPr defaultRowHeight="13.8"/>
  <cols>
    <col min="1" max="1" width="14" customWidth="1"/>
    <col min="2" max="2" width="64" customWidth="1"/>
    <col min="3" max="3" width="72" customWidth="1"/>
    <col min="4" max="4" width="24" customWidth="1"/>
    <col min="5" max="5" width="16" customWidth="1"/>
  </cols>
  <sheetData>
    <row r="1" spans="1:26" ht="39.6" customHeight="1">
      <c r="A1" s="6" t="s">
        <v>350</v>
      </c>
      <c r="B1" s="7"/>
      <c r="C1" s="7"/>
      <c r="D1" s="7"/>
      <c r="E1" s="7"/>
      <c r="F1" s="7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" t="s">
        <v>351</v>
      </c>
      <c r="B2" s="9"/>
      <c r="C2" s="9"/>
      <c r="D2" s="9"/>
      <c r="E2" s="9"/>
      <c r="F2" s="9"/>
      <c r="G2" s="9"/>
      <c r="H2" s="9"/>
    </row>
    <row r="4" spans="1:26">
      <c r="A4" s="1" t="s">
        <v>352</v>
      </c>
      <c r="B4" s="1" t="s">
        <v>353</v>
      </c>
      <c r="C4" s="1" t="s">
        <v>38</v>
      </c>
      <c r="D4" s="1" t="s">
        <v>39</v>
      </c>
      <c r="E4" s="1" t="s">
        <v>40</v>
      </c>
    </row>
    <row r="5" spans="1:26">
      <c r="A5" s="2">
        <v>1</v>
      </c>
      <c r="B5" s="2" t="s">
        <v>354</v>
      </c>
      <c r="C5" s="2" t="s">
        <v>355</v>
      </c>
      <c r="D5" s="2"/>
      <c r="E5" s="2"/>
    </row>
    <row r="6" spans="1:26">
      <c r="A6" s="2">
        <v>2</v>
      </c>
      <c r="B6" s="2" t="s">
        <v>356</v>
      </c>
      <c r="C6" s="2" t="s">
        <v>357</v>
      </c>
      <c r="D6" s="2"/>
      <c r="E6" s="2"/>
    </row>
    <row r="7" spans="1:26">
      <c r="A7" s="2">
        <v>3</v>
      </c>
      <c r="B7" s="2" t="s">
        <v>358</v>
      </c>
      <c r="C7" s="2" t="s">
        <v>359</v>
      </c>
      <c r="D7" s="2"/>
      <c r="E7" s="2"/>
    </row>
    <row r="8" spans="1:26">
      <c r="A8" s="2">
        <v>4</v>
      </c>
      <c r="B8" s="2" t="s">
        <v>360</v>
      </c>
      <c r="C8" s="2" t="s">
        <v>361</v>
      </c>
      <c r="D8" s="2"/>
      <c r="E8" s="2"/>
    </row>
    <row r="9" spans="1:26">
      <c r="A9" s="2">
        <v>5</v>
      </c>
      <c r="B9" s="2" t="s">
        <v>362</v>
      </c>
      <c r="C9" s="2" t="s">
        <v>363</v>
      </c>
      <c r="D9" s="2"/>
      <c r="E9" s="2"/>
    </row>
    <row r="10" spans="1:26">
      <c r="A10" s="2">
        <v>6</v>
      </c>
      <c r="B10" s="2" t="s">
        <v>364</v>
      </c>
      <c r="C10" s="2" t="s">
        <v>365</v>
      </c>
      <c r="D10" s="2"/>
      <c r="E10" s="2"/>
    </row>
    <row r="11" spans="1:26" ht="27.6">
      <c r="A11" s="2">
        <v>7</v>
      </c>
      <c r="B11" s="2" t="s">
        <v>366</v>
      </c>
      <c r="C11" s="2" t="s">
        <v>367</v>
      </c>
      <c r="D11" s="2"/>
      <c r="E11" s="2"/>
    </row>
    <row r="12" spans="1:26">
      <c r="A12" s="2">
        <v>8</v>
      </c>
      <c r="B12" s="2" t="s">
        <v>368</v>
      </c>
      <c r="C12" s="2" t="s">
        <v>369</v>
      </c>
      <c r="D12" s="2"/>
      <c r="E12" s="2"/>
    </row>
    <row r="13" spans="1:26">
      <c r="A13" s="2">
        <v>9</v>
      </c>
      <c r="B13" s="2" t="s">
        <v>370</v>
      </c>
      <c r="C13" s="2" t="s">
        <v>371</v>
      </c>
      <c r="D13" s="2"/>
      <c r="E13" s="2"/>
    </row>
    <row r="14" spans="1:26" ht="27.6">
      <c r="A14" s="2">
        <v>10</v>
      </c>
      <c r="B14" s="2" t="s">
        <v>372</v>
      </c>
      <c r="C14" s="2" t="s">
        <v>373</v>
      </c>
      <c r="D14" s="2"/>
      <c r="E14" s="2"/>
    </row>
    <row r="15" spans="1:26">
      <c r="A15" s="2">
        <v>11</v>
      </c>
      <c r="B15" s="2" t="s">
        <v>374</v>
      </c>
      <c r="C15" s="2" t="s">
        <v>375</v>
      </c>
      <c r="D15" s="2"/>
      <c r="E15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 Summary</vt:lpstr>
      <vt:lpstr>01 Login Register</vt:lpstr>
      <vt:lpstr>02 Setup Tests</vt:lpstr>
      <vt:lpstr>03 Legacy Migration</vt:lpstr>
      <vt:lpstr>04 Transactions</vt:lpstr>
      <vt:lpstr>05 Loans Approvals</vt:lpstr>
      <vt:lpstr>06 Corrections</vt:lpstr>
      <vt:lpstr>07 Role Security</vt:lpstr>
      <vt:lpstr>09 Calculation Details</vt:lpstr>
      <vt:lpstr>08 Dashboard Expected</vt:lpstr>
      <vt:lpstr>10 Final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Naresh Marewad</cp:lastModifiedBy>
  <dcterms:modified xsi:type="dcterms:W3CDTF">2026-06-06T13:51:48Z</dcterms:modified>
</cp:coreProperties>
</file>